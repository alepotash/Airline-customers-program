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maelen\Desktop\אלכס לימודים\FINAL PROJECT\NLA Campaign analysis\"/>
    </mc:Choice>
  </mc:AlternateContent>
  <xr:revisionPtr revIDLastSave="0" documentId="13_ncr:1_{D280785E-2417-46B9-A829-119755ACA023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KPI 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D4" i="1"/>
  <c r="D5" i="1" s="1"/>
  <c r="E4" i="1"/>
  <c r="F4" i="1"/>
  <c r="G4" i="1"/>
  <c r="H4" i="1"/>
  <c r="D3" i="1"/>
  <c r="E3" i="1"/>
  <c r="F3" i="1"/>
  <c r="G3" i="1"/>
  <c r="H3" i="1"/>
  <c r="C3" i="1"/>
  <c r="C5" i="1" l="1"/>
  <c r="E5" i="1"/>
  <c r="F5" i="1"/>
  <c r="G5" i="1"/>
  <c r="H5" i="1"/>
</calcChain>
</file>

<file path=xl/sharedStrings.xml><?xml version="1.0" encoding="utf-8"?>
<sst xmlns="http://schemas.openxmlformats.org/spreadsheetml/2006/main" count="17" uniqueCount="16">
  <si>
    <t>2012</t>
  </si>
  <si>
    <t>2013</t>
  </si>
  <si>
    <t>2014</t>
  </si>
  <si>
    <t>2015</t>
  </si>
  <si>
    <t>2016</t>
  </si>
  <si>
    <t>2017</t>
  </si>
  <si>
    <t>2018</t>
  </si>
  <si>
    <t>—</t>
  </si>
  <si>
    <t xml:space="preserve">Passengers – Canada </t>
  </si>
  <si>
    <t xml:space="preserve">Passengers – Global </t>
  </si>
  <si>
    <t>Yearly Growth %– Canada</t>
  </si>
  <si>
    <t>Yearly Growth % – Global</t>
  </si>
  <si>
    <t>https://www150.statcan.gc.ca/t1/tbl1/en/tv.action?pid=2310025301</t>
  </si>
  <si>
    <t>https://www2023.icao.int/Pages/default.aspx</t>
  </si>
  <si>
    <t>https://www.iata.org/en/publications/annual-review/</t>
  </si>
  <si>
    <t>passengers in Millions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</si>
</sst>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1" applyNumberFormat="1" applyFont="1" applyAlignment="1">
      <alignment horizontal="center"/>
    </xf>
    <xf numFmtId="0" fontId="3" fillId="0" borderId="0" xfId="2"/>
  </cellXfs>
  <cellStyles count="3">
    <cellStyle name="Гиперссылка" xfId="2" builtinId="8"/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2023.icao.int/Pages/default.aspx" TargetMode="External"/><Relationship Id="rId1" Type="http://schemas.openxmlformats.org/officeDocument/2006/relationships/hyperlink" Target="https://www.iata.org/en/publications/annual-revie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H16" sqref="H16"/>
    </sheetView>
  </sheetViews>
  <sheetFormatPr defaultRowHeight="15" x14ac:dyDescent="0.25"/>
  <cols>
    <col min="1" max="1" width="23.42578125" customWidth="1"/>
    <col min="2" max="8" width="9.140625" style="1"/>
  </cols>
  <sheetData>
    <row r="1" spans="1:9" x14ac:dyDescent="0.25">
      <c r="A1" t="s">
        <v>15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9" x14ac:dyDescent="0.25">
      <c r="A2" t="s">
        <v>8</v>
      </c>
      <c r="B2" s="1">
        <v>119</v>
      </c>
      <c r="C2" s="1">
        <v>124</v>
      </c>
      <c r="D2" s="1">
        <v>130</v>
      </c>
      <c r="E2" s="1">
        <v>133</v>
      </c>
      <c r="F2" s="1">
        <v>141</v>
      </c>
      <c r="G2" s="1">
        <v>151</v>
      </c>
      <c r="H2" s="1">
        <v>161</v>
      </c>
      <c r="I2" t="s">
        <v>12</v>
      </c>
    </row>
    <row r="3" spans="1:9" x14ac:dyDescent="0.25">
      <c r="A3" t="s">
        <v>10</v>
      </c>
      <c r="B3" s="1" t="s">
        <v>7</v>
      </c>
      <c r="C3" s="3">
        <f>(C2-B2)/B2</f>
        <v>4.2016806722689079E-2</v>
      </c>
      <c r="D3" s="3">
        <f t="shared" ref="D3:H3" si="0">(D2-C2)/C2</f>
        <v>4.8387096774193547E-2</v>
      </c>
      <c r="E3" s="3">
        <f t="shared" si="0"/>
        <v>2.3076923076923078E-2</v>
      </c>
      <c r="F3" s="3">
        <f t="shared" si="0"/>
        <v>6.0150375939849621E-2</v>
      </c>
      <c r="G3" s="3">
        <f t="shared" si="0"/>
        <v>7.0921985815602842E-2</v>
      </c>
      <c r="H3" s="3">
        <f t="shared" si="0"/>
        <v>6.6225165562913912E-2</v>
      </c>
    </row>
    <row r="4" spans="1:9" x14ac:dyDescent="0.25">
      <c r="A4" t="s">
        <v>9</v>
      </c>
      <c r="B4" s="1">
        <f>2.977*1000</f>
        <v>2977</v>
      </c>
      <c r="C4" s="1">
        <v>3129</v>
      </c>
      <c r="D4" s="1">
        <f>3.3*1000</f>
        <v>3300</v>
      </c>
      <c r="E4" s="1">
        <f>3.5*1000</f>
        <v>3500</v>
      </c>
      <c r="F4" s="1">
        <f>3.8*1000</f>
        <v>3800</v>
      </c>
      <c r="G4" s="1">
        <f>4.1*1000</f>
        <v>4100</v>
      </c>
      <c r="H4" s="1">
        <f>4.3*1000</f>
        <v>4300</v>
      </c>
      <c r="I4" s="4" t="s">
        <v>14</v>
      </c>
    </row>
    <row r="5" spans="1:9" x14ac:dyDescent="0.25">
      <c r="A5" t="s">
        <v>11</v>
      </c>
      <c r="B5" s="1" t="s">
        <v>7</v>
      </c>
      <c r="C5" s="3">
        <f>(C4-B4)/B4</f>
        <v>5.1058112193483371E-2</v>
      </c>
      <c r="D5" s="3">
        <f t="shared" ref="D5:H5" si="1">(D4-C4)/C4</f>
        <v>5.4650047938638542E-2</v>
      </c>
      <c r="E5" s="3">
        <f t="shared" si="1"/>
        <v>6.0606060606060608E-2</v>
      </c>
      <c r="F5" s="3">
        <f t="shared" si="1"/>
        <v>8.5714285714285715E-2</v>
      </c>
      <c r="G5" s="3">
        <f t="shared" si="1"/>
        <v>7.8947368421052627E-2</v>
      </c>
      <c r="H5" s="3">
        <f t="shared" si="1"/>
        <v>4.878048780487805E-2</v>
      </c>
      <c r="I5" s="4" t="s">
        <v>13</v>
      </c>
    </row>
  </sheetData>
  <hyperlinks>
    <hyperlink ref="I4" r:id="rId1" xr:uid="{0C3C7F2E-0B62-431A-895D-18B232DB48D2}"/>
    <hyperlink ref="I5" r:id="rId2" xr:uid="{79D3DEA9-0CB6-4730-8542-C29EB9ADF30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KPI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aron potashnikov</cp:lastModifiedBy>
  <dcterms:created xsi:type="dcterms:W3CDTF">2025-12-05T17:15:37Z</dcterms:created>
  <dcterms:modified xsi:type="dcterms:W3CDTF">2025-12-06T20:12:34Z</dcterms:modified>
</cp:coreProperties>
</file>